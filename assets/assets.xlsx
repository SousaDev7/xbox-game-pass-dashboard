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ownloads\xbox-game-pass-dashboard\assets\"/>
    </mc:Choice>
  </mc:AlternateContent>
  <xr:revisionPtr revIDLastSave="0" documentId="13_ncr:1_{A289BA06-AB86-4216-883E-AAC1BE7E5038}" xr6:coauthVersionLast="47" xr6:coauthVersionMax="47" xr10:uidLastSave="{00000000-0000-0000-0000-000000000000}"/>
  <bookViews>
    <workbookView xWindow="-120" yWindow="-120" windowWidth="29040" windowHeight="15990" xr2:uid="{28DD5B76-0634-4F87-BE60-8BFA7EF2E23B}"/>
  </bookViews>
  <sheets>
    <sheet name="A̳ssets" sheetId="1" r:id="rId1"/>
    <sheet name="B̳ases" sheetId="2" state="hidden" r:id="rId2"/>
    <sheet name="C̳álculos" sheetId="3" state="hidden" r:id="rId3"/>
    <sheet name="D̳ashboard" sheetId="4" state="hidden" r:id="rId4"/>
  </sheets>
  <definedNames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30" i="3"/>
</calcChain>
</file>

<file path=xl/sharedStrings.xml><?xml version="1.0" encoding="utf-8"?>
<sst xmlns="http://schemas.openxmlformats.org/spreadsheetml/2006/main" count="2026" uniqueCount="328">
  <si>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</si>
  <si>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</si>
  <si>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</si>
  <si>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</si>
  <si>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</si>
  <si>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</si>
  <si>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</si>
  <si>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</si>
  <si>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</si>
  <si>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</si>
  <si>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</si>
  <si>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</si>
  <si>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</si>
  <si>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</si>
  <si>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</si>
  <si>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</si>
  <si>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</si>
  <si>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</si>
  <si>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</si>
  <si>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</si>
  <si>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</si>
  <si>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</si>
  <si>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</si>
  <si>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</si>
  <si>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</si>
  <si>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</si>
  <si>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</si>
  <si>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</si>
  <si>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</si>
  <si>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</si>
  <si>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</si>
  <si>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</si>
  <si>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</si>
  <si>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</si>
  <si>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</si>
  <si>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</si>
  <si>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</si>
  <si>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</si>
  <si>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</si>
  <si>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</si>
  <si>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</si>
  <si>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</si>
  <si>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</si>
  <si>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</si>
  <si>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</si>
  <si>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</si>
  <si>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</si>
  <si>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</si>
  <si>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</si>
  <si>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</si>
  <si>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</si>
  <si>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</si>
  <si>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</si>
  <si>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</si>
  <si>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</si>
  <si>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</si>
  <si>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</si>
  <si>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</si>
  <si>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</si>
  <si>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</si>
  <si>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</si>
  <si>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</si>
  <si>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</si>
  <si>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</si>
  <si>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</si>
  <si>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</si>
  <si>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</si>
  <si>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</si>
  <si>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</si>
  <si>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</si>
  <si>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</si>
  <si>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</si>
  <si>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</si>
  <si>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</si>
  <si>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</si>
  <si>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</si>
  <si>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</si>
  <si>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</si>
  <si>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</si>
  <si>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</si>
  <si>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</si>
  <si>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</si>
  <si>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</si>
  <si>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</si>
  <si>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</si>
  <si>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</si>
  <si>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</si>
  <si>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</si>
  <si>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</si>
  <si>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</si>
  <si>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</si>
  <si>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</si>
  <si>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</si>
  <si>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</si>
  <si>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</si>
  <si>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</si>
  <si>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</si>
  <si>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</si>
  <si>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</si>
  <si>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</si>
  <si>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</si>
  <si>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</si>
  <si>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</si>
  <si>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</si>
  <si>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</si>
  <si>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</si>
  <si>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</si>
  <si>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</si>
  <si>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</si>
  <si>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</si>
  <si>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</si>
  <si>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</si>
  <si>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</si>
  <si>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</si>
  <si>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</si>
  <si>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</si>
  <si>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</si>
  <si>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</si>
  <si>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</si>
  <si>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</si>
  <si>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</si>
  <si>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</si>
  <si>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</si>
  <si>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</si>
  <si>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</si>
  <si>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</si>
  <si>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</si>
  <si>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</si>
  <si>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</si>
  <si>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</si>
  <si>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</si>
  <si>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</si>
  <si>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</si>
  <si>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</si>
  <si>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</si>
  <si>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</si>
  <si>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</si>
  <si>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</si>
  <si>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</si>
  <si>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</si>
  <si>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</si>
  <si>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</si>
  <si>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</si>
  <si>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</si>
  <si>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</si>
  <si>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</si>
  <si>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</si>
  <si>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</si>
  <si>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</si>
  <si>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</si>
  <si>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</si>
  <si>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</si>
  <si>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</si>
  <si>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</si>
  <si>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</si>
  <si>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</si>
  <si>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</si>
  <si>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</si>
  <si>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</si>
  <si>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</si>
  <si>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</si>
  <si>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</si>
  <si>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</si>
  <si>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</si>
  <si>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</si>
  <si>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</si>
  <si>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</si>
  <si>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</si>
  <si>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</si>
  <si>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</si>
  <si>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</si>
  <si>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</si>
  <si>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</si>
  <si>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</si>
  <si>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</si>
  <si>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</si>
  <si>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</si>
  <si>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</si>
  <si>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</si>
  <si>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</si>
  <si>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</si>
  <si>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</si>
  <si>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</si>
  <si>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</si>
  <si>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</si>
  <si>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</si>
  <si>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</si>
  <si>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</si>
  <si>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</si>
  <si>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</si>
  <si>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</si>
  <si>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</si>
  <si>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</si>
  <si>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</si>
  <si>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</si>
  <si>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</si>
  <si>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</si>
  <si>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</si>
  <si>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</si>
  <si>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</si>
  <si>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</si>
  <si>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</si>
  <si>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</si>
  <si>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</si>
  <si>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</si>
  <si>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</si>
  <si>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</si>
  <si>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</si>
  <si>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</si>
  <si>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</si>
  <si>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</si>
  <si>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</si>
  <si>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</si>
  <si>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</si>
  <si>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</si>
  <si>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</si>
  <si>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</si>
  <si>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</si>
  <si>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</si>
  <si>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</si>
  <si>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</si>
  <si>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</si>
  <si>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</si>
  <si>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</si>
  <si>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</si>
  <si>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</si>
  <si>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</si>
  <si>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</si>
  <si>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</si>
  <si>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</si>
  <si>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</si>
  <si>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</si>
  <si>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</si>
  <si>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</si>
  <si>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</si>
  <si>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</si>
  <si>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</si>
  <si>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</si>
  <si>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</si>
  <si>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</si>
  <si>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</si>
  <si>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</si>
  <si>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</si>
  <si>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</si>
  <si>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</si>
  <si>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</si>
  <si>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</si>
  <si>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</si>
  <si>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</si>
  <si>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</si>
  <si>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</si>
  <si>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</si>
  <si>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</si>
  <si>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</si>
  <si>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</si>
  <si>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</si>
  <si>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</si>
  <si>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</si>
  <si>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</si>
  <si>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</si>
  <si>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</si>
  <si>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</si>
  <si>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</si>
  <si>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</si>
  <si>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</si>
  <si>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</si>
  <si>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</si>
  <si>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</si>
  <si>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</si>
  <si>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</si>
  <si>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</si>
  <si>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</si>
  <si>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</si>
  <si>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</si>
  <si>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</si>
  <si>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</si>
  <si>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</si>
  <si>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</si>
  <si>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</si>
  <si>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</si>
  <si>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</si>
  <si>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</si>
  <si>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</si>
  <si>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</si>
  <si>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</si>
  <si>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</si>
  <si>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</si>
  <si>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</si>
  <si>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</si>
  <si>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</si>
  <si>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</si>
  <si>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</si>
  <si>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</si>
  <si>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</si>
  <si>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</si>
  <si>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</si>
  <si>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</si>
  <si>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</si>
  <si>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</si>
  <si>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</si>
  <si>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</si>
  <si>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</si>
  <si>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</si>
  <si>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</si>
  <si>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</si>
  <si>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</si>
  <si>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</si>
  <si>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</si>
  <si>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</si>
  <si>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</si>
  <si>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</si>
  <si>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</si>
  <si>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</si>
  <si>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</si>
  <si>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</si>
  <si>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de Total de vendas de planos anuais (contendo todas as assinaturas agregadas)</t>
  </si>
  <si>
    <t>Pergunta de Negócio 2 - Qual o faturamento de Total de vendas de planos anuais, separado por auto renovação não é por agregados</t>
  </si>
  <si>
    <t>#E8E6E9</t>
  </si>
  <si>
    <t>XBOX GAME PASS SUBSCRIPTIONS SALES</t>
  </si>
  <si>
    <t>Pergunta de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</si>
  <si>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</si>
  <si>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</si>
  <si>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</si>
  <si>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Bem vindo, Pedro!</t>
  </si>
  <si>
    <t>Calculation period: 01/01/2025 - 31/12/2025 | Update date: 14/01/2026</t>
  </si>
  <si>
    <t>S</t>
  </si>
  <si>
    <t>Pergunta de negócio respondida através de alguma análise de dado específica</t>
  </si>
  <si>
    <t>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</si>
</sst>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scheme val="minor"/>
    </font>
    <font>
      <b/>
      <sz val="11"/>
      <color theme="1" tint="0.499984740745262"/>
      <name val="Aptos Narrow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8" borderId="0" xfId="0" applyNumberFormat="1" applyFill="1"/>
    <xf numFmtId="164" fontId="4" fillId="8" borderId="0" xfId="0" applyNumberFormat="1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9" borderId="0" xfId="0" applyFill="1" applyBorder="1"/>
    <xf numFmtId="0" fontId="6" fillId="9" borderId="2" xfId="1" applyFont="1" applyFill="1" applyBorder="1"/>
    <xf numFmtId="0" fontId="5" fillId="9" borderId="2" xfId="1" applyFont="1" applyFill="1" applyBorder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4" fontId="0" fillId="0" borderId="0" xfId="2" applyFont="1"/>
    <xf numFmtId="44" fontId="0" fillId="0" borderId="0" xfId="0" applyNumberFormat="1"/>
    <xf numFmtId="0" fontId="0" fillId="9" borderId="2" xfId="0" applyFill="1" applyBorder="1"/>
    <xf numFmtId="0" fontId="7" fillId="4" borderId="0" xfId="0" applyFont="1" applyFill="1" applyAlignment="1">
      <alignment horizontal="center" vertical="center"/>
    </xf>
    <xf numFmtId="0" fontId="0" fillId="0" borderId="2" xfId="0" applyBorder="1"/>
    <xf numFmtId="0" fontId="8" fillId="7" borderId="0" xfId="0" applyFont="1" applyFill="1" applyAlignment="1">
      <alignment horizontal="center" vertical="center"/>
    </xf>
    <xf numFmtId="0" fontId="9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2816A03-7F68-4BF9-B081-7B59C0B297D9}">
      <tableStyleElement type="wholeTable" dxfId="24"/>
      <tableStyleElement type="headerRow" dxfId="23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[assets.xlsx]C̳álculos!tbl_annual_total</c:name>
    <c:fmtId val="2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746750662646026E-2"/>
          <c:y val="4.2357438566553933E-2"/>
          <c:w val="0.94344996065550424"/>
          <c:h val="0.91528512286689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9DA-BF1F-802D5105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578160"/>
        <c:axId val="327565680"/>
      </c:barChart>
      <c:catAx>
        <c:axId val="32757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565680"/>
        <c:crosses val="autoZero"/>
        <c:auto val="1"/>
        <c:lblAlgn val="ctr"/>
        <c:lblOffset val="100"/>
        <c:noMultiLvlLbl val="0"/>
      </c:catAx>
      <c:valAx>
        <c:axId val="32756568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275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178595</xdr:colOff>
      <xdr:row>0</xdr:row>
      <xdr:rowOff>0</xdr:rowOff>
    </xdr:from>
    <xdr:to>
      <xdr:col>2</xdr:col>
      <xdr:colOff>654844</xdr:colOff>
      <xdr:row>3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A46DA8-75B0-43D7-8223-19EC66F09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7" r="71636"/>
        <a:stretch/>
      </xdr:blipFill>
      <xdr:spPr>
        <a:xfrm>
          <a:off x="2274095" y="0"/>
          <a:ext cx="750093" cy="857250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44</xdr:row>
      <xdr:rowOff>119062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D49185-AFB4-41A2-8023-A692F2A01736}"/>
            </a:ext>
          </a:extLst>
        </xdr:cNvPr>
        <xdr:cNvGrpSpPr/>
      </xdr:nvGrpSpPr>
      <xdr:grpSpPr>
        <a:xfrm>
          <a:off x="2416969" y="4476750"/>
          <a:ext cx="14608968" cy="3750468"/>
          <a:chOff x="2893219" y="1559719"/>
          <a:chExt cx="5500687" cy="3119437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4925943-B9F2-49BF-9B06-9518E84428A6}"/>
              </a:ext>
            </a:extLst>
          </xdr:cNvPr>
          <xdr:cNvSpPr/>
        </xdr:nvSpPr>
        <xdr:spPr>
          <a:xfrm>
            <a:off x="2893219" y="1559719"/>
            <a:ext cx="5500687" cy="3119437"/>
          </a:xfrm>
          <a:prstGeom prst="roundRect">
            <a:avLst>
              <a:gd name="adj" fmla="val 11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17F49773-6FD2-4DD3-9769-A92D9397F298}"/>
              </a:ext>
            </a:extLst>
          </xdr:cNvPr>
          <xdr:cNvGraphicFramePr>
            <a:graphicFrameLocks/>
          </xdr:cNvGraphicFramePr>
        </xdr:nvGraphicFramePr>
        <xdr:xfrm>
          <a:off x="3000375" y="1771651"/>
          <a:ext cx="526256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9</xdr:row>
      <xdr:rowOff>23814</xdr:rowOff>
    </xdr:from>
    <xdr:to>
      <xdr:col>0</xdr:col>
      <xdr:colOff>2071689</xdr:colOff>
      <xdr:row>17</xdr:row>
      <xdr:rowOff>107158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4FB6F6B-90CB-43FA-939A-E0B37E875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81189"/>
              <a:ext cx="2035970" cy="1512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166687</xdr:colOff>
      <xdr:row>7</xdr:row>
      <xdr:rowOff>83343</xdr:rowOff>
    </xdr:from>
    <xdr:to>
      <xdr:col>11</xdr:col>
      <xdr:colOff>369094</xdr:colOff>
      <xdr:row>18</xdr:row>
      <xdr:rowOff>154781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6602EC5-91B5-4419-81D4-5F3E92A01B3E}"/>
            </a:ext>
          </a:extLst>
        </xdr:cNvPr>
        <xdr:cNvGrpSpPr/>
      </xdr:nvGrpSpPr>
      <xdr:grpSpPr>
        <a:xfrm>
          <a:off x="2536031" y="1345406"/>
          <a:ext cx="6417469" cy="2274094"/>
          <a:chOff x="2536031" y="1297781"/>
          <a:chExt cx="6417469" cy="227409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3A0C890-D9CE-4420-8CDA-529CB2D7DA73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DE80292-5F54-4663-9680-8DD07A32AF02}"/>
              </a:ext>
            </a:extLst>
          </xdr:cNvPr>
          <xdr:cNvSpPr/>
        </xdr:nvSpPr>
        <xdr:spPr>
          <a:xfrm>
            <a:off x="3893344" y="1821657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A99507-4C1F-4B7E-A689-A34589D20A42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88BC6E8-446C-4167-B5AB-AF61EEC3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7980" y="2066927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898DEEC-82BE-46D8-8A6F-88653FCE282D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>
    <xdr:from>
      <xdr:col>14</xdr:col>
      <xdr:colOff>95250</xdr:colOff>
      <xdr:row>7</xdr:row>
      <xdr:rowOff>71437</xdr:rowOff>
    </xdr:from>
    <xdr:to>
      <xdr:col>23</xdr:col>
      <xdr:colOff>297657</xdr:colOff>
      <xdr:row>18</xdr:row>
      <xdr:rowOff>142875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1313EFC-66AA-4217-8FC1-9C3B336498D2}"/>
            </a:ext>
          </a:extLst>
        </xdr:cNvPr>
        <xdr:cNvGrpSpPr/>
      </xdr:nvGrpSpPr>
      <xdr:grpSpPr>
        <a:xfrm>
          <a:off x="10560844" y="1333500"/>
          <a:ext cx="6417469" cy="2274094"/>
          <a:chOff x="2536031" y="1297781"/>
          <a:chExt cx="6417469" cy="227409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2C123A3-7CEF-409B-BC19-FAA0D844D83D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633CBBA-6145-4CAA-A667-7AF556B30694}"/>
              </a:ext>
            </a:extLst>
          </xdr:cNvPr>
          <xdr:cNvSpPr/>
        </xdr:nvSpPr>
        <xdr:spPr>
          <a:xfrm>
            <a:off x="3952875" y="1833563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8FB152A-4102-464F-9609-F675D0533B00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99586AB-2B7E-4A3D-BD91-B38F79F9E11C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MINECRAFT SEASON PASS</a:t>
            </a:r>
            <a:endParaRPr lang="pt-BR" sz="1600" b="1"/>
          </a:p>
        </xdr:txBody>
      </xdr:sp>
    </xdr:grpSp>
    <xdr:clientData/>
  </xdr:twoCellAnchor>
  <xdr:twoCellAnchor editAs="absolute">
    <xdr:from>
      <xdr:col>14</xdr:col>
      <xdr:colOff>285751</xdr:colOff>
      <xdr:row>11</xdr:row>
      <xdr:rowOff>95249</xdr:rowOff>
    </xdr:from>
    <xdr:to>
      <xdr:col>16</xdr:col>
      <xdr:colOff>535782</xdr:colOff>
      <xdr:row>15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1C6C4F4-CF41-451D-A5E3-B21427C78A3F}"/>
            </a:ext>
          </a:extLst>
        </xdr:cNvPr>
        <xdr:cNvGrpSpPr/>
      </xdr:nvGrpSpPr>
      <xdr:grpSpPr>
        <a:xfrm>
          <a:off x="10751345" y="2309812"/>
          <a:ext cx="1631156" cy="7143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04C6E5F-4349-457F-96D0-6528039B19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DBB2149F-4280-4080-934C-EDB177D93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27</xdr:row>
      <xdr:rowOff>35719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A2439189-E566-4E2C-821E-6AA23D4F1F63}"/>
            </a:ext>
          </a:extLst>
        </xdr:cNvPr>
        <xdr:cNvSpPr/>
      </xdr:nvSpPr>
      <xdr:spPr>
        <a:xfrm>
          <a:off x="2416969" y="4476750"/>
          <a:ext cx="14608968" cy="63103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</a:t>
          </a:r>
          <a:r>
            <a:rPr lang="pt-BR" sz="1600" b="1" baseline="0"/>
            <a:t> SUBSCRIPTIONS XBOX GAME PASS</a:t>
          </a:r>
          <a:endParaRPr lang="pt-BR" sz="1600" b="1"/>
        </a:p>
      </xdr:txBody>
    </xdr:sp>
    <xdr:clientData/>
  </xdr:twoCellAnchor>
  <xdr:twoCellAnchor editAs="absolute">
    <xdr:from>
      <xdr:col>0</xdr:col>
      <xdr:colOff>654844</xdr:colOff>
      <xdr:row>1</xdr:row>
      <xdr:rowOff>250031</xdr:rowOff>
    </xdr:from>
    <xdr:to>
      <xdr:col>0</xdr:col>
      <xdr:colOff>1426369</xdr:colOff>
      <xdr:row>6</xdr:row>
      <xdr:rowOff>2381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E0AFAF-4982-410E-A0CD-B0A431939B2B}"/>
            </a:ext>
          </a:extLst>
        </xdr:cNvPr>
        <xdr:cNvSpPr/>
      </xdr:nvSpPr>
      <xdr:spPr>
        <a:xfrm>
          <a:off x="654844" y="488156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33.99058287037" createdVersion="7" refreshedVersion="7" minRefreshableVersion="3" recordCount="295" xr:uid="{1C57D38D-A395-45B7-8BF6-D4E296ADFA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8073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4C54-DB66-4B11-94F5-94EE93D0E655}" name="Tabela dinâmica2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9:C4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3">
    <format dxfId="2">
      <pivotArea type="all" dataOnly="0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88E96-F645-4686-9A36-6D938406AF06}" name="tbl_easeasonpass_total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E611-D3B3-4E32-9FD5-342D88158823}" name="tbl_annual_total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8">
      <pivotArea outline="0" collapsedLevelsAreSubtotals="1" fieldPosition="0"/>
    </format>
    <format dxfId="7">
      <pivotArea dataOnly="0" labelOnly="1" outline="0" fieldPosition="0">
        <references count="1">
          <reference field="6" count="0"/>
        </references>
      </pivotArea>
    </format>
    <format dxfId="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03B9C2-5424-41FC-AC82-56310B75CB7F}" sourceName="Subscription Type">
  <pivotTables>
    <pivotTable tabId="3" name="tbl_annual_total"/>
    <pivotTable tabId="3" name="tbl_easeasonpass_total"/>
    <pivotTable tabId="3" name="Tabela dinâmica2"/>
  </pivotTables>
  <data>
    <tabular pivotCacheId="21807333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5FAB3F-3615-477B-9644-E4B86B5A34A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L7" sqref="L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317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19" sqref="F1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G566"/>
  <sheetViews>
    <sheetView showGridLines="0" workbookViewId="0">
      <selection activeCell="F19" sqref="F19"/>
    </sheetView>
  </sheetViews>
  <sheetFormatPr defaultRowHeight="14.25"/>
  <cols>
    <col min="1" max="1" width="18" bestFit="1" customWidth="1"/>
    <col min="2" max="2" width="18" style="14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5" spans="2:7" ht="15">
      <c r="B5" s="15"/>
      <c r="C5" s="17"/>
      <c r="D5" s="16" t="s">
        <v>326</v>
      </c>
      <c r="E5" s="17"/>
      <c r="F5" s="17"/>
      <c r="G5" s="17"/>
    </row>
    <row r="7" spans="2:7">
      <c r="B7"/>
    </row>
    <row r="8" spans="2:7">
      <c r="B8" t="s">
        <v>315</v>
      </c>
    </row>
    <row r="9" spans="2:7">
      <c r="B9" t="s">
        <v>316</v>
      </c>
    </row>
    <row r="10" spans="2:7">
      <c r="B10"/>
    </row>
    <row r="11" spans="2:7">
      <c r="B11"/>
    </row>
    <row r="12" spans="2:7">
      <c r="B12"/>
    </row>
    <row r="13" spans="2:7">
      <c r="B13" s="12" t="s">
        <v>15</v>
      </c>
      <c r="C13" s="14" t="s">
        <v>23</v>
      </c>
    </row>
    <row r="14" spans="2:7">
      <c r="B14"/>
      <c r="C14" s="14"/>
    </row>
    <row r="15" spans="2:7">
      <c r="B15" s="12" t="s">
        <v>312</v>
      </c>
      <c r="C15" s="14" t="s">
        <v>314</v>
      </c>
    </row>
    <row r="16" spans="2:7">
      <c r="B16" s="13" t="s">
        <v>22</v>
      </c>
      <c r="C16" s="14">
        <v>217</v>
      </c>
    </row>
    <row r="17" spans="2:6">
      <c r="B17" s="13" t="s">
        <v>18</v>
      </c>
      <c r="C17" s="14">
        <v>1537</v>
      </c>
    </row>
    <row r="18" spans="2:6">
      <c r="B18" s="13" t="s">
        <v>313</v>
      </c>
      <c r="C18" s="14">
        <v>1754</v>
      </c>
    </row>
    <row r="19" spans="2:6">
      <c r="B19"/>
      <c r="F19" s="31" t="s">
        <v>327</v>
      </c>
    </row>
    <row r="21" spans="2:6">
      <c r="B21" s="14" t="s">
        <v>319</v>
      </c>
    </row>
    <row r="24" spans="2:6">
      <c r="B24" s="23" t="s">
        <v>15</v>
      </c>
      <c r="C24" s="22" t="s">
        <v>23</v>
      </c>
    </row>
    <row r="25" spans="2:6">
      <c r="B25" s="22"/>
      <c r="C25" s="22"/>
      <c r="D25" s="22"/>
    </row>
    <row r="26" spans="2:6">
      <c r="B26" s="23" t="s">
        <v>312</v>
      </c>
      <c r="C26" s="22" t="s">
        <v>320</v>
      </c>
      <c r="D26" s="22"/>
    </row>
    <row r="27" spans="2:6">
      <c r="B27" s="24" t="s">
        <v>21</v>
      </c>
      <c r="C27" s="22">
        <v>0</v>
      </c>
      <c r="D27" s="22"/>
    </row>
    <row r="28" spans="2:6">
      <c r="B28" s="24" t="s">
        <v>25</v>
      </c>
      <c r="C28" s="22">
        <v>0</v>
      </c>
      <c r="D28" s="22"/>
    </row>
    <row r="29" spans="2:6">
      <c r="B29" s="24" t="s">
        <v>17</v>
      </c>
      <c r="C29" s="22">
        <v>600</v>
      </c>
      <c r="D29" s="22"/>
    </row>
    <row r="30" spans="2:6">
      <c r="B30" s="24" t="s">
        <v>313</v>
      </c>
      <c r="C30" s="22">
        <v>600</v>
      </c>
      <c r="D30" s="22"/>
      <c r="F30" s="25">
        <f>GETPIVOTDATA("EA Play Season Pass
Price",$B$26)</f>
        <v>600</v>
      </c>
    </row>
    <row r="31" spans="2:6">
      <c r="B31" s="22"/>
      <c r="C31" s="22"/>
      <c r="D31" s="22"/>
    </row>
    <row r="32" spans="2:6">
      <c r="B32" s="22"/>
      <c r="C32" s="22"/>
      <c r="D32" s="22"/>
    </row>
    <row r="33" spans="2:6">
      <c r="B33" s="22" t="s">
        <v>321</v>
      </c>
      <c r="C33" s="22"/>
      <c r="D33" s="22"/>
    </row>
    <row r="34" spans="2:6">
      <c r="B34" s="22"/>
      <c r="C34" s="22"/>
      <c r="D34" s="22"/>
    </row>
    <row r="35" spans="2:6">
      <c r="B35" s="22"/>
      <c r="C35" s="22"/>
      <c r="D35" s="22"/>
    </row>
    <row r="36" spans="2:6">
      <c r="B36" s="22"/>
      <c r="C36" s="22"/>
      <c r="D36" s="22"/>
    </row>
    <row r="37" spans="2:6">
      <c r="B37" s="23" t="s">
        <v>15</v>
      </c>
      <c r="C37" s="22" t="s">
        <v>23</v>
      </c>
    </row>
    <row r="38" spans="2:6">
      <c r="B38" s="22"/>
      <c r="C38" s="22"/>
    </row>
    <row r="39" spans="2:6">
      <c r="B39" s="23" t="s">
        <v>312</v>
      </c>
      <c r="C39" s="22" t="s">
        <v>322</v>
      </c>
    </row>
    <row r="40" spans="2:6">
      <c r="B40" s="24" t="s">
        <v>21</v>
      </c>
      <c r="C40" s="26">
        <v>0</v>
      </c>
    </row>
    <row r="41" spans="2:6">
      <c r="B41" s="24" t="s">
        <v>25</v>
      </c>
      <c r="C41" s="26">
        <v>540</v>
      </c>
    </row>
    <row r="42" spans="2:6">
      <c r="B42" s="24" t="s">
        <v>17</v>
      </c>
      <c r="C42" s="26">
        <v>400</v>
      </c>
      <c r="F42" s="25">
        <f>GETPIVOTDATA("Minecraft Season Pass Price",$B$39)</f>
        <v>940</v>
      </c>
    </row>
    <row r="43" spans="2:6">
      <c r="B43" s="24" t="s">
        <v>313</v>
      </c>
      <c r="C43" s="26">
        <v>940</v>
      </c>
    </row>
    <row r="44" spans="2:6">
      <c r="B44"/>
    </row>
    <row r="45" spans="2:6">
      <c r="B45"/>
    </row>
    <row r="46" spans="2:6">
      <c r="B46"/>
    </row>
    <row r="47" spans="2:6">
      <c r="B47"/>
    </row>
    <row r="48" spans="2:6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BG679"/>
  <sheetViews>
    <sheetView showGridLines="0" showRowColHeaders="0" zoomScale="80" zoomScaleNormal="80" workbookViewId="0">
      <selection activeCell="K4" sqref="K4"/>
    </sheetView>
  </sheetViews>
  <sheetFormatPr defaultRowHeight="14.25"/>
  <cols>
    <col min="1" max="1" width="27.5" style="4" customWidth="1"/>
    <col min="2" max="2" width="3.625" customWidth="1"/>
    <col min="12" max="12" width="6.625" customWidth="1"/>
  </cols>
  <sheetData>
    <row r="1" spans="1:59" ht="18.7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59" ht="24.75" thickBot="1">
      <c r="B2" s="18"/>
      <c r="D2" s="20" t="s">
        <v>318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7"/>
      <c r="S2" s="27"/>
      <c r="T2" s="27"/>
      <c r="U2" s="27"/>
      <c r="V2" s="27"/>
      <c r="W2" s="27"/>
      <c r="X2" s="27"/>
      <c r="Y2" s="27"/>
      <c r="Z2" s="27"/>
      <c r="AA2" s="27"/>
      <c r="AB2" s="29"/>
      <c r="AC2" s="29"/>
      <c r="AD2" s="29"/>
      <c r="AE2" s="29"/>
      <c r="AF2" s="29"/>
    </row>
    <row r="3" spans="1:59" ht="21" customHeight="1" thickTop="1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59" ht="8.25" customHeight="1">
      <c r="B4" s="7"/>
      <c r="C4" s="7"/>
      <c r="D4" s="7"/>
      <c r="E4" s="7"/>
      <c r="F4" s="7"/>
      <c r="G4" s="7"/>
      <c r="H4" s="7"/>
      <c r="I4" s="7"/>
      <c r="J4" s="7"/>
      <c r="K4" s="7" t="s">
        <v>325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5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ht="10.5" customHeight="1">
      <c r="B6" s="7"/>
      <c r="C6" s="7"/>
      <c r="D6" s="7"/>
      <c r="E6" s="7"/>
      <c r="F6" s="30" t="s">
        <v>324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ht="33" customHeight="1">
      <c r="A8" s="28" t="s">
        <v>323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2:5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2:5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2:5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2:5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2:5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2:5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2:5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2:5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2:5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2:5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2:5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2:5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2:5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2:5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2:5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2:5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2:5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2:5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2:5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2:5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2:5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2:5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2:5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2:5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2:5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2:5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2:5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2:5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2:5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2:5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2:5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2:5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2:5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2:5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2:5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2:5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2:5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2:5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2:5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2:5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2:5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2:5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2:5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2:5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2:5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2:5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2:5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2:5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2:5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2:5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2:5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2:59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2:59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2:59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2:59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2:59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2:59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2:59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2:59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2:59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2:59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2:59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2:59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2:59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2:59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2:59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2:59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2:59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2:59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2:59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2:59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2:59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2:59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2:59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2:59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2:59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2:59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2:59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2:59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2:59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2:59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2:59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2:59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2:59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2:59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2:59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2:59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2:59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2:59"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2:59"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2:59"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2:59"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2:59"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2:59"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2:59"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2:59"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2:59"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2:59"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2:59"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2:59"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2:59"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2:59"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2:59"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27:59"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27:59"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27:59"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27:59"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27:59"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27:59"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27:59"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27:59"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27:59"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27:59"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27:59"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27:59"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27:59"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27:59"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27:59"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27:59"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27:59"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27:59"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27:59"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27:59"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27:59"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27:59"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27:59"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27:59"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27:59"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27:59"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27:59"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27:59"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27:59"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27:59"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27:59"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27:59"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27:59"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27:59"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27:59"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27:59"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27:59"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27:59"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27:59"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27:59"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27:59"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27:59"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27:59"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27:59"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27:59"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27:59"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27:59"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27:59"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27:59"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27:59"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27:59"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27:59"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27:59"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27:59"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27:59"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27:59"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27:59"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27:59"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27:59"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27:59"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27:59"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27:59"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27:59"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27:59"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27:59"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27:59"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27:59"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27:59"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27:59"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27:59"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27:59"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27:59"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27:59"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27:59"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27:59"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27:59"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27:59"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27:59"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27:59"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27:59"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27:59"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27:59"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27:59"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27:59"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27:59"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27:59"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27:59"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27:59"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27:59"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27:59"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27:59"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27:59"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27:59"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27:59"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27:59"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27:59"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27:59"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27:59"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27:59"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27:59"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27:59"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27:59"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 spans="27:59"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 spans="27:59"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 spans="27:59"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 spans="27:59"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 spans="27:59"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 spans="27:59"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 spans="27:59"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 spans="27:59"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 spans="27:59"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 spans="27:59"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 spans="27:59"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 spans="27:59"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 spans="27:59"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 spans="27:59"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 spans="27:59"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 spans="27:59"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 spans="27:59"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 spans="27:59"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 spans="27:59"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 spans="27:59"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 spans="27:59"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 spans="27:59"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 spans="27:59"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 spans="27:59"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 spans="27:59"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 spans="27:59"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 spans="27:59"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 spans="27:59"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 spans="27:59"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 spans="27:59"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 spans="27:59"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 spans="27:59"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 spans="27:59"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 spans="27:59"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 spans="27:59"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 spans="27:59"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 spans="27:59"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 spans="27:59"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 spans="27:59"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 spans="27:59"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 spans="27:59"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 spans="27:59"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 spans="27:59"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 spans="27:59"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 spans="27:59"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 spans="27:59"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 spans="27:59"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 spans="27:59"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 spans="27:59"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 spans="27:59"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 spans="27:59"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 spans="27:59"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 spans="27:59"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 spans="27:59"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 spans="27:59"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 spans="27:59"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 spans="27:59"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 spans="27:59"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 spans="27:59"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 spans="27:59"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 spans="27:59"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 spans="27:59"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 spans="27:59"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 spans="27:59"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 spans="27:59"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 spans="27:59"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 spans="27:59"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 spans="27:59"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 spans="27:59"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 spans="27:59"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 spans="27:59"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 spans="27:59"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 spans="27:59"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 spans="27:59"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 spans="27:59"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 spans="27:59"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 spans="27:59"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 spans="27:59"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 spans="27:59"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 spans="27:59"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 spans="27:59"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 spans="27:59"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 spans="27:59"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 spans="27:59"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 spans="27:59"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 spans="27:59"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 spans="27:59"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 spans="27:59"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 spans="27:59"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 spans="27:59"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 spans="27:59"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 spans="27:59"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 spans="27:59"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 spans="27:59"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 spans="27:59"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 spans="27:59"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 spans="27:59"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 spans="27:59"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 spans="27:59"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 spans="27:59"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 spans="27:59"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 spans="27:59"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 spans="27:59"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 spans="27:59"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 spans="27:59"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 spans="27:59"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 spans="27:59"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 spans="27:59"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 spans="27:59"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 spans="27:59"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 spans="27:59"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 spans="27:59"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 spans="27:59"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 spans="27:59"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 spans="27:59"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 spans="27:59"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 spans="27:59"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 spans="27:59"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 spans="27:59"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 spans="27:59"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 spans="27:59"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 spans="27:59"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 spans="27:59"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 spans="27:59"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 spans="27:59"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 spans="27:59"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 spans="27:59"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 spans="27:59"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 spans="27:59"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 spans="27:59"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 spans="27:59"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 spans="27:59"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 spans="27:59"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  <row r="492" spans="27:59"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</row>
    <row r="493" spans="27:59"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</row>
    <row r="494" spans="27:59"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</row>
    <row r="495" spans="27:59"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</row>
    <row r="496" spans="27:59"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</row>
    <row r="497" spans="27:59"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</row>
    <row r="498" spans="27:59"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</row>
    <row r="499" spans="27:59"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</row>
    <row r="500" spans="27:59"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</row>
    <row r="501" spans="27:59"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</row>
    <row r="502" spans="27:59"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</row>
    <row r="503" spans="27:59"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</row>
    <row r="504" spans="27:59"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</row>
    <row r="505" spans="27:59"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</row>
    <row r="506" spans="27:59"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</row>
    <row r="507" spans="27:59"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</row>
    <row r="508" spans="27:59"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</row>
    <row r="509" spans="27:59"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</row>
    <row r="510" spans="27:59"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</row>
    <row r="511" spans="27:59"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</row>
    <row r="512" spans="27:59"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</row>
    <row r="513" spans="27:59"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</row>
    <row r="514" spans="27:59"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</row>
    <row r="515" spans="27:59"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</row>
    <row r="516" spans="27:59"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</row>
    <row r="517" spans="27:59"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</row>
    <row r="518" spans="27:59"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</row>
    <row r="519" spans="27:59"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</row>
    <row r="520" spans="27:59"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</row>
    <row r="521" spans="27:59"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</row>
    <row r="522" spans="27:59"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</row>
    <row r="523" spans="27:59"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</row>
    <row r="524" spans="27:59"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</row>
    <row r="525" spans="27:59"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</row>
    <row r="526" spans="27:59"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</row>
    <row r="527" spans="27:59"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</row>
    <row r="528" spans="27:59"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</row>
    <row r="529" spans="27:59"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</row>
    <row r="530" spans="27:59"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</row>
    <row r="531" spans="27:59"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</row>
    <row r="532" spans="27:59"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</row>
    <row r="533" spans="27:59"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</row>
    <row r="534" spans="27:59"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</row>
    <row r="535" spans="27:59"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</row>
    <row r="536" spans="27:59"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</row>
    <row r="537" spans="27:59"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</row>
    <row r="538" spans="27:59"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</row>
    <row r="539" spans="27:59"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</row>
    <row r="540" spans="27:59"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</row>
    <row r="541" spans="27:59"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</row>
    <row r="542" spans="27:59"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</row>
    <row r="543" spans="27:59"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</row>
    <row r="544" spans="27:59"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</row>
    <row r="545" spans="27:59"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</row>
    <row r="546" spans="27:59"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</row>
    <row r="547" spans="27:59"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</row>
    <row r="548" spans="27:59"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</row>
    <row r="549" spans="27:59"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</row>
    <row r="550" spans="27:59"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</row>
    <row r="551" spans="27:59"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</row>
    <row r="552" spans="27:59"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</row>
    <row r="553" spans="27:59"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</row>
    <row r="554" spans="27:59"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</row>
    <row r="555" spans="27:59"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</row>
    <row r="556" spans="27:59"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</row>
    <row r="557" spans="27:59"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</row>
    <row r="558" spans="27:59"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</row>
    <row r="559" spans="27:59"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</row>
    <row r="560" spans="27:59"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</row>
    <row r="561" spans="27:59"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</row>
    <row r="562" spans="27:59"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</row>
    <row r="563" spans="27:59"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</row>
    <row r="564" spans="27:59"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</row>
    <row r="565" spans="27:59"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</row>
    <row r="566" spans="27:59"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</row>
    <row r="567" spans="27:59"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</row>
    <row r="568" spans="27:59"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</row>
    <row r="569" spans="27:59"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</row>
    <row r="570" spans="27:59"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</row>
    <row r="571" spans="27:59"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</row>
    <row r="572" spans="27:59"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</row>
    <row r="573" spans="27:59"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</row>
    <row r="574" spans="27:59"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</row>
    <row r="575" spans="27:59"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</row>
    <row r="576" spans="27:59"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</row>
    <row r="577" spans="27:59"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</row>
    <row r="578" spans="27:59"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</row>
    <row r="579" spans="27:59"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</row>
    <row r="580" spans="27:59"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</row>
    <row r="581" spans="27:59"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</row>
    <row r="582" spans="27:59"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</row>
    <row r="583" spans="27:59"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</row>
    <row r="584" spans="27:59"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</row>
    <row r="585" spans="27:59"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</row>
    <row r="586" spans="27:59"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</row>
    <row r="587" spans="27:59"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</row>
    <row r="588" spans="27:59"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</row>
    <row r="589" spans="27:59"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</row>
    <row r="590" spans="27:59"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</row>
    <row r="591" spans="27:59"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</row>
    <row r="592" spans="27:59"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</row>
    <row r="593" spans="27:59"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</row>
    <row r="594" spans="27:59"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</row>
    <row r="595" spans="27:59"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</row>
    <row r="596" spans="27:59"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</row>
    <row r="597" spans="27:59"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</row>
    <row r="598" spans="27:59"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</row>
    <row r="599" spans="27:59"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</row>
    <row r="600" spans="27:59"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</row>
    <row r="601" spans="27:59"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</row>
    <row r="602" spans="27:59"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</row>
    <row r="603" spans="27:59"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</row>
    <row r="604" spans="27:59"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</row>
    <row r="605" spans="27:59"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</row>
    <row r="606" spans="27:59"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</row>
    <row r="607" spans="27:59"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</row>
    <row r="608" spans="27:59"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</row>
    <row r="609" spans="27:59"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</row>
    <row r="610" spans="27:59"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</row>
    <row r="611" spans="27:59"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</row>
    <row r="612" spans="27:59"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</row>
    <row r="613" spans="27:59"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</row>
    <row r="614" spans="27:59"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</row>
    <row r="615" spans="27:59"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</row>
    <row r="616" spans="27:59"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</row>
    <row r="617" spans="27:59"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</row>
    <row r="618" spans="27:59"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</row>
    <row r="619" spans="27:59"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</row>
    <row r="620" spans="27:59"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</row>
    <row r="621" spans="27:59"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</row>
    <row r="622" spans="27:59"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</row>
    <row r="623" spans="27:59"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</row>
    <row r="624" spans="27:59"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</row>
    <row r="625" spans="27:59"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</row>
    <row r="626" spans="27:59"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</row>
    <row r="627" spans="27:59"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</row>
    <row r="628" spans="27:59"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</row>
    <row r="629" spans="27:59"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</row>
    <row r="630" spans="27:59"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</row>
    <row r="631" spans="27:59"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</row>
    <row r="632" spans="27:59"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</row>
    <row r="633" spans="27:59"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</row>
    <row r="634" spans="27:59"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</row>
    <row r="635" spans="27:59"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</row>
    <row r="636" spans="27:59"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</row>
    <row r="637" spans="27:59"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</row>
    <row r="638" spans="27:59"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</row>
    <row r="639" spans="27:59"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</row>
    <row r="640" spans="27:59"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</row>
    <row r="641" spans="27:59"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</row>
    <row r="642" spans="27:59"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</row>
    <row r="643" spans="27:59"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</row>
    <row r="644" spans="27:59"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</row>
    <row r="645" spans="27:59"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</row>
    <row r="646" spans="27:59"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</row>
    <row r="647" spans="27:59"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</row>
    <row r="648" spans="27:59"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</row>
    <row r="649" spans="27:59"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</row>
    <row r="650" spans="27:59"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</row>
    <row r="651" spans="27:59"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</row>
    <row r="652" spans="27:59"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</row>
    <row r="653" spans="27:59"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</row>
    <row r="654" spans="27:59"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</row>
    <row r="655" spans="27:59"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</row>
    <row r="656" spans="27:59"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</row>
    <row r="657" spans="27:59"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</row>
    <row r="658" spans="27:59"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</row>
    <row r="659" spans="27:59"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</row>
    <row r="660" spans="27:59"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</row>
    <row r="661" spans="27:59"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</row>
    <row r="662" spans="27:59"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</row>
    <row r="663" spans="27:59"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</row>
    <row r="664" spans="27:59"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</row>
    <row r="665" spans="27:59"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</row>
    <row r="666" spans="27:59"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</row>
    <row r="667" spans="27:59"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</row>
    <row r="668" spans="27:59"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</row>
    <row r="669" spans="27:59"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</row>
    <row r="670" spans="27:59"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</row>
    <row r="671" spans="27:59"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</row>
    <row r="672" spans="27:59"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</row>
    <row r="673" spans="27:59"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</row>
    <row r="674" spans="27:59"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</row>
    <row r="675" spans="27:59"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</row>
    <row r="676" spans="27:59"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</row>
    <row r="677" spans="27:59"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</row>
    <row r="678" spans="27:59"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</row>
    <row r="679" spans="27:59"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Sousa</cp:lastModifiedBy>
  <dcterms:created xsi:type="dcterms:W3CDTF">2024-12-19T13:13:10Z</dcterms:created>
  <dcterms:modified xsi:type="dcterms:W3CDTF">2026-01-14T04:40:09Z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